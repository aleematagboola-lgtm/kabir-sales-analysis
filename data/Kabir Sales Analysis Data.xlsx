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IOTB DATA ANALYTICS\Assignment\"/>
    </mc:Choice>
  </mc:AlternateContent>
  <xr:revisionPtr revIDLastSave="0" documentId="8_{F3617368-5B46-41CF-8BEB-775EC4C7607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6" i="1" l="1"/>
  <c r="N27" i="1"/>
  <c r="N25" i="1"/>
  <c r="J26" i="1"/>
  <c r="J27" i="1"/>
  <c r="J25" i="1"/>
  <c r="S5" i="1"/>
  <c r="S4" i="1"/>
  <c r="I34" i="1"/>
  <c r="I35" i="1"/>
  <c r="I36" i="1"/>
  <c r="I37" i="1"/>
  <c r="I33" i="1"/>
  <c r="S26" i="1"/>
  <c r="S27" i="1"/>
  <c r="S28" i="1"/>
  <c r="S29" i="1"/>
  <c r="S25" i="1"/>
  <c r="J20" i="1"/>
  <c r="J21" i="1"/>
  <c r="I21" i="1"/>
  <c r="I20" i="1"/>
  <c r="O17" i="1"/>
  <c r="O18" i="1"/>
  <c r="O19" i="1"/>
  <c r="O20" i="1"/>
  <c r="O16" i="1"/>
  <c r="N17" i="1"/>
  <c r="N18" i="1"/>
  <c r="N19" i="1"/>
  <c r="N20" i="1"/>
  <c r="N16" i="1"/>
  <c r="P5" i="1"/>
  <c r="P6" i="1"/>
  <c r="P7" i="1"/>
  <c r="P8" i="1"/>
  <c r="P4" i="1"/>
  <c r="J19" i="1"/>
  <c r="J18" i="1"/>
  <c r="J17" i="1"/>
  <c r="I19" i="1"/>
  <c r="I18" i="1"/>
  <c r="I17" i="1"/>
  <c r="J16" i="1"/>
  <c r="I16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T20" i="1" s="1"/>
  <c r="C7" i="1"/>
  <c r="C6" i="1"/>
  <c r="C5" i="1"/>
  <c r="C4" i="1"/>
  <c r="C3" i="1"/>
  <c r="S19" i="1" l="1"/>
  <c r="M34" i="1"/>
  <c r="U21" i="1"/>
  <c r="K5" i="1"/>
  <c r="I7" i="1"/>
  <c r="J8" i="1"/>
  <c r="K9" i="1"/>
  <c r="S17" i="1"/>
  <c r="S18" i="1"/>
  <c r="T19" i="1"/>
  <c r="U20" i="1"/>
  <c r="I5" i="1"/>
  <c r="I6" i="1"/>
  <c r="J7" i="1"/>
  <c r="K8" i="1"/>
  <c r="S21" i="1"/>
  <c r="T17" i="1"/>
  <c r="T18" i="1"/>
  <c r="U19" i="1"/>
  <c r="M33" i="1"/>
  <c r="I9" i="1"/>
  <c r="J5" i="1"/>
  <c r="J6" i="1"/>
  <c r="K7" i="1"/>
  <c r="S20" i="1"/>
  <c r="T21" i="1"/>
  <c r="U17" i="1"/>
  <c r="U18" i="1"/>
  <c r="M35" i="1"/>
  <c r="I8" i="1"/>
  <c r="J9" i="1"/>
  <c r="K6" i="1"/>
</calcChain>
</file>

<file path=xl/sharedStrings.xml><?xml version="1.0" encoding="utf-8"?>
<sst xmlns="http://schemas.openxmlformats.org/spreadsheetml/2006/main" count="104" uniqueCount="39">
  <si>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</si>
  <si>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</si>
  <si>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</si>
  <si>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</si>
  <si>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</si>
  <si>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</si>
  <si>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</si>
  <si>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</si>
  <si>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</si>
  <si>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</si>
  <si>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</si>
  <si>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</si>
  <si>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</si>
  <si>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</si>
  <si>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</si>
  <si>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</si>
  <si>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</si>
  <si>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</si>
  <si>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</si>
  <si>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</si>
  <si>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</si>
  <si>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</si>
  <si>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</si>
  <si>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</si>
  <si>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</si>
  <si>
    <t>Total Quantity Sold</t>
  </si>
  <si>
    <t>Average Quantity Sold Per Year</t>
  </si>
  <si>
    <t>Average Quantity Sold</t>
  </si>
  <si>
    <t>Total Quantity Sold per year</t>
  </si>
  <si>
    <t>Performance Extremes</t>
  </si>
  <si>
    <t>Higest Transaction</t>
  </si>
  <si>
    <t>Lowest Transaction</t>
  </si>
  <si>
    <t>Representative Activity</t>
  </si>
  <si>
    <t>No of Transaction</t>
  </si>
  <si>
    <t>Most Active Sales Rep</t>
  </si>
  <si>
    <t>Financial Contribution</t>
  </si>
  <si>
    <t>Total Revenue</t>
  </si>
  <si>
    <t>Yearly Trends</t>
  </si>
  <si>
    <t>AverageIF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</si>
</sst>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_-* #,##0.00_-;\-* #,##0.00_-;_-* &quot;-&quot;??_-;_-@_-"/>
    <numFmt numFmtId="165" formatCode="&quot;$&quot;#,##0.00"/>
    <numFmt numFmtId="166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 style="thin">
        <color indexed="64"/>
      </left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/>
      <top style="thin">
        <color rgb="FF92D050"/>
      </top>
      <bottom/>
      <diagonal/>
    </border>
    <border>
      <left style="thin">
        <color rgb="FF92D050"/>
      </left>
      <right/>
      <top/>
      <bottom/>
      <diagonal/>
    </border>
    <border>
      <left style="thin">
        <color rgb="FF92D050"/>
      </left>
      <right/>
      <top style="thin">
        <color rgb="FF92D050"/>
      </top>
      <bottom style="thin">
        <color rgb="FF92D050"/>
      </bottom>
      <diagonal/>
    </border>
    <border>
      <left style="thin">
        <color indexed="64"/>
      </left>
      <right style="thin">
        <color indexed="64"/>
      </right>
      <top style="thin">
        <color rgb="FF92D050"/>
      </top>
      <bottom style="thin">
        <color rgb="FF92D050"/>
      </bottom>
      <diagonal/>
    </border>
    <border>
      <left style="thin">
        <color rgb="FF92D050"/>
      </left>
      <right/>
      <top style="thin">
        <color rgb="FF92D050"/>
      </top>
      <bottom/>
      <diagonal/>
    </border>
    <border>
      <left/>
      <right style="thin">
        <color rgb="FF92D050"/>
      </right>
      <top style="thin">
        <color rgb="FF92D050"/>
      </top>
      <bottom style="thin">
        <color rgb="FF92D050"/>
      </bottom>
      <diagonal/>
    </border>
    <border>
      <left/>
      <right style="thin">
        <color rgb="FF92D050"/>
      </right>
      <top/>
      <bottom style="thin">
        <color rgb="FF92D050"/>
      </bottom>
      <diagonal/>
    </border>
    <border>
      <left style="thin">
        <color rgb="FF92D050"/>
      </left>
      <right style="thin">
        <color rgb="FF92D050"/>
      </right>
      <top style="thin">
        <color rgb="FF92D050"/>
      </top>
      <bottom/>
      <diagonal/>
    </border>
    <border>
      <left style="thin">
        <color rgb="FF92D050"/>
      </left>
      <right style="thin">
        <color rgb="FF92D050"/>
      </right>
      <top/>
      <bottom/>
      <diagonal/>
    </border>
    <border>
      <left style="thin">
        <color rgb="FF92D050"/>
      </left>
      <right style="thin">
        <color rgb="FF92D050"/>
      </right>
      <top/>
      <bottom style="thin">
        <color rgb="FF92D05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22" fontId="0" fillId="0" borderId="0" xfId="0" applyNumberFormat="1"/>
    <xf numFmtId="14" fontId="0" fillId="0" borderId="0" xfId="0" applyNumberFormat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65" fontId="5" fillId="3" borderId="1" xfId="0" applyNumberFormat="1" applyFont="1" applyFill="1" applyBorder="1"/>
    <xf numFmtId="165" fontId="6" fillId="0" borderId="1" xfId="0" applyNumberFormat="1" applyFont="1" applyBorder="1"/>
    <xf numFmtId="165" fontId="0" fillId="0" borderId="0" xfId="0" applyNumberFormat="1"/>
    <xf numFmtId="44" fontId="1" fillId="0" borderId="5" xfId="2" applyFont="1" applyFill="1" applyBorder="1" applyAlignment="1"/>
    <xf numFmtId="165" fontId="0" fillId="0" borderId="0" xfId="2" applyNumberFormat="1" applyFont="1"/>
    <xf numFmtId="165" fontId="0" fillId="0" borderId="6" xfId="0" applyNumberFormat="1" applyBorder="1"/>
    <xf numFmtId="165" fontId="0" fillId="0" borderId="1" xfId="0" applyNumberFormat="1" applyBorder="1"/>
    <xf numFmtId="166" fontId="1" fillId="0" borderId="5" xfId="1" applyNumberFormat="1" applyFont="1" applyFill="1" applyBorder="1" applyAlignment="1"/>
    <xf numFmtId="0" fontId="0" fillId="0" borderId="22" xfId="0" applyBorder="1"/>
    <xf numFmtId="165" fontId="0" fillId="0" borderId="24" xfId="0" applyNumberFormat="1" applyBorder="1"/>
    <xf numFmtId="0" fontId="0" fillId="0" borderId="23" xfId="0" applyBorder="1"/>
    <xf numFmtId="0" fontId="0" fillId="0" borderId="20" xfId="0" applyBorder="1"/>
    <xf numFmtId="165" fontId="0" fillId="0" borderId="26" xfId="0" applyNumberFormat="1" applyBorder="1"/>
    <xf numFmtId="165" fontId="0" fillId="0" borderId="20" xfId="0" applyNumberFormat="1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2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23" xfId="0" applyFill="1" applyBorder="1"/>
    <xf numFmtId="165" fontId="0" fillId="0" borderId="23" xfId="2" applyNumberFormat="1" applyFont="1" applyBorder="1"/>
    <xf numFmtId="0" fontId="0" fillId="2" borderId="20" xfId="0" applyFill="1" applyBorder="1" applyAlignment="1">
      <alignment horizontal="center"/>
    </xf>
    <xf numFmtId="165" fontId="0" fillId="0" borderId="20" xfId="2" applyNumberFormat="1" applyFont="1" applyBorder="1"/>
    <xf numFmtId="0" fontId="3" fillId="2" borderId="20" xfId="0" applyFont="1" applyFill="1" applyBorder="1" applyAlignment="1">
      <alignment horizontal="center"/>
    </xf>
    <xf numFmtId="0" fontId="0" fillId="5" borderId="20" xfId="0" applyFill="1" applyBorder="1" applyAlignment="1">
      <alignment horizontal="center" vertical="center"/>
    </xf>
    <xf numFmtId="0" fontId="0" fillId="5" borderId="20" xfId="0" applyFill="1" applyBorder="1"/>
    <xf numFmtId="0" fontId="0" fillId="4" borderId="20" xfId="0" applyFill="1" applyBorder="1" applyAlignment="1">
      <alignment horizontal="center" vertical="center"/>
    </xf>
    <xf numFmtId="0" fontId="0" fillId="4" borderId="20" xfId="0" applyFill="1" applyBorder="1"/>
    <xf numFmtId="2" fontId="0" fillId="0" borderId="20" xfId="0" applyNumberFormat="1" applyBorder="1"/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165" fontId="1" fillId="0" borderId="5" xfId="2" applyNumberFormat="1" applyFont="1" applyFill="1" applyBorder="1" applyAlignment="1"/>
    <xf numFmtId="1" fontId="1" fillId="0" borderId="5" xfId="1" applyNumberFormat="1" applyFont="1" applyFill="1" applyBorder="1" applyAlignment="1"/>
  </cellXfs>
  <cellStyles count="3">
    <cellStyle name="Comma" xfId="1" builtinId="3"/>
    <cellStyle name="Currency" xfId="2" builtinId="4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"/>
  <sheetViews>
    <sheetView tabSelected="1" topLeftCell="G1" zoomScale="85" zoomScaleNormal="85" workbookViewId="0">
      <selection activeCell="O20" sqref="O20"/>
    </sheetView>
  </sheetViews>
  <sheetFormatPr defaultRowHeight="15" x14ac:dyDescent="0.25"/>
  <cols>
    <col min="2" max="2" width="10.28515625" bestFit="1" customWidth="1"/>
    <col min="4" max="4" width="12.85546875" bestFit="1" customWidth="1"/>
    <col min="5" max="5" width="17.5703125" bestFit="1" customWidth="1"/>
    <col min="6" max="6" width="12.42578125" style="24" bestFit="1" customWidth="1"/>
    <col min="8" max="8" width="10.42578125" bestFit="1" customWidth="1"/>
    <col min="9" max="9" width="19" customWidth="1"/>
    <col min="10" max="10" width="18.140625" bestFit="1" customWidth="1"/>
    <col min="11" max="11" width="13.5703125" bestFit="1" customWidth="1"/>
    <col min="12" max="12" width="9.85546875" bestFit="1" customWidth="1"/>
    <col min="13" max="13" width="18.140625" bestFit="1" customWidth="1"/>
    <col min="14" max="14" width="21" bestFit="1" customWidth="1"/>
    <col min="15" max="15" width="12.5703125" bestFit="1" customWidth="1"/>
    <col min="18" max="18" width="21.42578125" bestFit="1" customWidth="1"/>
    <col min="19" max="19" width="21.5703125" bestFit="1" customWidth="1"/>
    <col min="20" max="20" width="12.140625" customWidth="1"/>
  </cols>
  <sheetData>
    <row r="1" spans="1:21" ht="25.5" x14ac:dyDescent="0.35">
      <c r="A1" s="49" t="s">
        <v>0</v>
      </c>
      <c r="B1" s="49"/>
      <c r="C1" s="49"/>
      <c r="D1" s="49"/>
      <c r="E1" s="49"/>
      <c r="F1" s="49"/>
    </row>
    <row r="2" spans="1:21" ht="19.5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2" t="s">
        <v>6</v>
      </c>
    </row>
    <row r="3" spans="1:21" ht="15.75" thickBot="1" x14ac:dyDescent="0.3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23">
        <v>16720</v>
      </c>
      <c r="G3" s="4"/>
      <c r="I3" s="63" t="s">
        <v>24</v>
      </c>
      <c r="J3" s="64"/>
      <c r="K3" s="65"/>
      <c r="N3" s="66"/>
      <c r="O3" s="67" t="s">
        <v>9</v>
      </c>
      <c r="P3" s="68" t="s">
        <v>10</v>
      </c>
      <c r="R3" s="55" t="s">
        <v>29</v>
      </c>
      <c r="S3" s="55"/>
      <c r="T3" s="53"/>
    </row>
    <row r="4" spans="1:21" x14ac:dyDescent="0.2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23">
        <v>12980</v>
      </c>
      <c r="G4" s="5"/>
      <c r="H4" s="15" t="s">
        <v>4</v>
      </c>
      <c r="I4" s="16">
        <v>2010</v>
      </c>
      <c r="J4" s="17">
        <v>2011</v>
      </c>
      <c r="K4" s="18">
        <v>2012</v>
      </c>
      <c r="N4" s="46" t="s">
        <v>12</v>
      </c>
      <c r="O4" s="9" t="s">
        <v>13</v>
      </c>
      <c r="P4" s="10">
        <f>COUNTIF($D:$D, O4)</f>
        <v>6</v>
      </c>
      <c r="R4" s="33" t="s">
        <v>30</v>
      </c>
      <c r="S4" s="56">
        <f>MAX(F:F)</f>
        <v>20900</v>
      </c>
      <c r="T4" s="32"/>
    </row>
    <row r="5" spans="1:21" x14ac:dyDescent="0.2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23">
        <v>12320</v>
      </c>
      <c r="H5" s="19" t="s">
        <v>13</v>
      </c>
      <c r="I5" s="25">
        <f t="shared" ref="I5:J9" si="1">SUMIFS($F:$F, $D:$D, $H5, $C:$C, I$4)</f>
        <v>12320</v>
      </c>
      <c r="J5" s="25">
        <f t="shared" si="1"/>
        <v>23100</v>
      </c>
      <c r="K5" s="25">
        <f>SUMIFS($F:$F, $D:$D, $H5, $C:$C,K$4)</f>
        <v>25520</v>
      </c>
      <c r="N5" s="47"/>
      <c r="O5" s="9" t="s">
        <v>7</v>
      </c>
      <c r="P5" s="10">
        <f t="shared" ref="P5:P8" si="2">COUNTIF($D:$D, O5)</f>
        <v>3</v>
      </c>
      <c r="R5" s="33" t="s">
        <v>31</v>
      </c>
      <c r="S5" s="56">
        <f>MIN(F:F)</f>
        <v>5280</v>
      </c>
      <c r="T5" s="54"/>
    </row>
    <row r="6" spans="1:21" x14ac:dyDescent="0.2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23">
        <v>10560</v>
      </c>
      <c r="H6" s="19" t="s">
        <v>7</v>
      </c>
      <c r="I6" s="25">
        <f t="shared" si="1"/>
        <v>16720</v>
      </c>
      <c r="J6" s="25">
        <f t="shared" si="1"/>
        <v>6160</v>
      </c>
      <c r="K6" s="25">
        <f>SUMIFS($F:$F, $D:$D, $H6, $C:$C,K$4)</f>
        <v>7920</v>
      </c>
      <c r="N6" s="47"/>
      <c r="O6" s="9" t="s">
        <v>15</v>
      </c>
      <c r="P6" s="10">
        <f t="shared" si="2"/>
        <v>5</v>
      </c>
      <c r="R6" s="30"/>
      <c r="S6" s="26"/>
      <c r="T6" s="26"/>
    </row>
    <row r="7" spans="1:21" x14ac:dyDescent="0.2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23">
        <v>8800</v>
      </c>
      <c r="H7" s="19" t="s">
        <v>15</v>
      </c>
      <c r="I7" s="25">
        <f t="shared" si="1"/>
        <v>26840</v>
      </c>
      <c r="J7" s="69">
        <f t="shared" si="1"/>
        <v>0</v>
      </c>
      <c r="K7" s="25">
        <f>SUMIFS($F:$F, $D:$D, $H7, $C:$C,K$4)</f>
        <v>15840</v>
      </c>
      <c r="N7" s="47"/>
      <c r="O7" s="9" t="s">
        <v>18</v>
      </c>
      <c r="P7" s="10">
        <f t="shared" si="2"/>
        <v>3</v>
      </c>
    </row>
    <row r="8" spans="1:21" ht="15.75" thickBot="1" x14ac:dyDescent="0.3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23">
        <v>19800</v>
      </c>
      <c r="H8" s="19" t="s">
        <v>18</v>
      </c>
      <c r="I8" s="25">
        <f t="shared" si="1"/>
        <v>19800</v>
      </c>
      <c r="J8" s="25">
        <f t="shared" si="1"/>
        <v>20900</v>
      </c>
      <c r="K8" s="25">
        <f>SUMIFS($F:$F, $D:$D, $H8, $C:$C,K$4)</f>
        <v>11440</v>
      </c>
      <c r="N8" s="48"/>
      <c r="O8" s="12" t="s">
        <v>11</v>
      </c>
      <c r="P8" s="10">
        <f t="shared" si="2"/>
        <v>7</v>
      </c>
    </row>
    <row r="9" spans="1:21" ht="15.75" thickBot="1" x14ac:dyDescent="0.3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23">
        <v>5280</v>
      </c>
      <c r="H9" s="20" t="s">
        <v>11</v>
      </c>
      <c r="I9" s="25">
        <f t="shared" si="1"/>
        <v>29040</v>
      </c>
      <c r="J9" s="25">
        <f t="shared" si="1"/>
        <v>33440</v>
      </c>
      <c r="K9" s="25">
        <f>SUMIFS($F:$F, $D:$D, $H9, $C:$C,K$4)</f>
        <v>20240</v>
      </c>
    </row>
    <row r="10" spans="1:21" x14ac:dyDescent="0.2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23">
        <v>11000</v>
      </c>
    </row>
    <row r="11" spans="1:21" x14ac:dyDescent="0.2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23">
        <v>7260</v>
      </c>
    </row>
    <row r="12" spans="1:21" x14ac:dyDescent="0.2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23">
        <v>20900</v>
      </c>
    </row>
    <row r="13" spans="1:21" ht="15.75" thickBot="1" x14ac:dyDescent="0.3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23">
        <v>12540</v>
      </c>
    </row>
    <row r="14" spans="1:21" ht="15.75" thickBot="1" x14ac:dyDescent="0.3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23">
        <v>10560</v>
      </c>
      <c r="H14" s="50" t="s">
        <v>8</v>
      </c>
      <c r="I14" s="51"/>
      <c r="J14" s="52"/>
    </row>
    <row r="15" spans="1:21" ht="15.75" thickBot="1" x14ac:dyDescent="0.3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23">
        <v>19360</v>
      </c>
      <c r="H15" s="6"/>
      <c r="I15" s="7" t="s">
        <v>10</v>
      </c>
      <c r="J15" s="8" t="s">
        <v>6</v>
      </c>
      <c r="L15" s="66"/>
      <c r="M15" s="67" t="s">
        <v>9</v>
      </c>
      <c r="N15" s="67" t="s">
        <v>10</v>
      </c>
      <c r="O15" s="68" t="s">
        <v>6</v>
      </c>
      <c r="S15" s="63" t="s">
        <v>22</v>
      </c>
      <c r="T15" s="64"/>
      <c r="U15" s="65"/>
    </row>
    <row r="16" spans="1:21" x14ac:dyDescent="0.2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23">
        <v>6160</v>
      </c>
      <c r="H16" s="11" t="s">
        <v>14</v>
      </c>
      <c r="I16" s="9">
        <f>SUM(E3:E26)</f>
        <v>1224</v>
      </c>
      <c r="J16" s="27">
        <f>SUM(F:F)</f>
        <v>269280</v>
      </c>
      <c r="L16" s="46" t="s">
        <v>23</v>
      </c>
      <c r="M16" s="9" t="s">
        <v>13</v>
      </c>
      <c r="N16" s="9">
        <f>SUMIF($D:$D, M16, $E:$E)</f>
        <v>277</v>
      </c>
      <c r="O16" s="28">
        <f>SUMIF($D:$D, M16, $F:$F)</f>
        <v>60940</v>
      </c>
      <c r="R16" s="15" t="s">
        <v>4</v>
      </c>
      <c r="S16" s="16">
        <v>2010</v>
      </c>
      <c r="T16" s="17">
        <v>2011</v>
      </c>
      <c r="U16" s="18">
        <v>2012</v>
      </c>
    </row>
    <row r="17" spans="1:21" x14ac:dyDescent="0.2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23">
        <v>14080</v>
      </c>
      <c r="H17" s="11" t="s">
        <v>16</v>
      </c>
      <c r="I17" s="9">
        <f>MIN(E:E)</f>
        <v>24</v>
      </c>
      <c r="J17" s="27">
        <f>MIN(F:F)</f>
        <v>5280</v>
      </c>
      <c r="L17" s="47"/>
      <c r="M17" s="9" t="s">
        <v>7</v>
      </c>
      <c r="N17" s="9">
        <f t="shared" ref="N17:N20" si="3">SUMIF($D:$D, M17, $E:$E)</f>
        <v>140</v>
      </c>
      <c r="O17" s="28">
        <f t="shared" ref="O17:O20" si="4">SUMIF($D:$D, M17, $F:$F)</f>
        <v>30800</v>
      </c>
      <c r="R17" s="19" t="s">
        <v>13</v>
      </c>
      <c r="S17" s="29">
        <f>SUMIFS($E:$E, $D:$D,$R17, $C:$C, S$16)</f>
        <v>56</v>
      </c>
      <c r="T17" s="29">
        <f>SUMIFS($E:$E, $D:$D, $R17, $C:$C, T$16)</f>
        <v>105</v>
      </c>
      <c r="U17" s="29">
        <f>SUMIFS($E:$E, $D:$D, $R17, $C:$C, U$16)</f>
        <v>116</v>
      </c>
    </row>
    <row r="18" spans="1:21" x14ac:dyDescent="0.2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23">
        <v>11220</v>
      </c>
      <c r="H18" s="11" t="s">
        <v>17</v>
      </c>
      <c r="I18" s="9">
        <f>MAX(E:E)</f>
        <v>95</v>
      </c>
      <c r="J18" s="27">
        <f>MAX(F:F)</f>
        <v>20900</v>
      </c>
      <c r="L18" s="47"/>
      <c r="M18" s="9" t="s">
        <v>15</v>
      </c>
      <c r="N18" s="9">
        <f t="shared" si="3"/>
        <v>194</v>
      </c>
      <c r="O18" s="28">
        <f t="shared" si="4"/>
        <v>42680</v>
      </c>
      <c r="R18" s="19" t="s">
        <v>7</v>
      </c>
      <c r="S18" s="29">
        <f t="shared" ref="S18:S21" si="5">SUMIFS($E:$E, $D:$D,$R18, $C:$C, S$16)</f>
        <v>76</v>
      </c>
      <c r="T18" s="29">
        <f t="shared" ref="T18:U21" si="6">SUMIFS($E:$E, $D:$D, $R18, $C:$C, T$16)</f>
        <v>28</v>
      </c>
      <c r="U18" s="29">
        <f t="shared" si="6"/>
        <v>36</v>
      </c>
    </row>
    <row r="19" spans="1:21" x14ac:dyDescent="0.2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23">
        <v>5500</v>
      </c>
      <c r="H19" s="11" t="s">
        <v>19</v>
      </c>
      <c r="I19" s="9">
        <f>AVERAGE(E:E)</f>
        <v>51</v>
      </c>
      <c r="J19" s="27">
        <f>AVERAGE(F:F)</f>
        <v>11220</v>
      </c>
      <c r="L19" s="47"/>
      <c r="M19" s="9" t="s">
        <v>18</v>
      </c>
      <c r="N19" s="9">
        <f t="shared" si="3"/>
        <v>237</v>
      </c>
      <c r="O19" s="28">
        <f t="shared" si="4"/>
        <v>52140</v>
      </c>
      <c r="R19" s="19" t="s">
        <v>15</v>
      </c>
      <c r="S19" s="29">
        <f t="shared" si="5"/>
        <v>122</v>
      </c>
      <c r="T19" s="70">
        <f t="shared" si="6"/>
        <v>0</v>
      </c>
      <c r="U19" s="29">
        <f t="shared" si="6"/>
        <v>72</v>
      </c>
    </row>
    <row r="20" spans="1:21" ht="15.75" thickBot="1" x14ac:dyDescent="0.3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23">
        <v>7040</v>
      </c>
      <c r="H20" s="11" t="s">
        <v>20</v>
      </c>
      <c r="I20" s="9">
        <f>COUNT(E3:E26)</f>
        <v>24</v>
      </c>
      <c r="J20" s="10">
        <f>COUNT(F3:F26)</f>
        <v>24</v>
      </c>
      <c r="L20" s="48"/>
      <c r="M20" s="12" t="s">
        <v>11</v>
      </c>
      <c r="N20" s="9">
        <f t="shared" si="3"/>
        <v>376</v>
      </c>
      <c r="O20" s="28">
        <f t="shared" si="4"/>
        <v>82720</v>
      </c>
      <c r="R20" s="19" t="s">
        <v>18</v>
      </c>
      <c r="S20" s="29">
        <f t="shared" si="5"/>
        <v>90</v>
      </c>
      <c r="T20" s="29">
        <f t="shared" si="6"/>
        <v>95</v>
      </c>
      <c r="U20" s="29">
        <f t="shared" si="6"/>
        <v>52</v>
      </c>
    </row>
    <row r="21" spans="1:21" ht="15.75" thickBot="1" x14ac:dyDescent="0.3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23">
        <v>5280</v>
      </c>
      <c r="H21" s="13" t="s">
        <v>21</v>
      </c>
      <c r="I21" s="9">
        <f>COUNTA(E3:E26)</f>
        <v>24</v>
      </c>
      <c r="J21" s="14">
        <f>COUNTA(F3:F26)</f>
        <v>24</v>
      </c>
      <c r="R21" s="20" t="s">
        <v>11</v>
      </c>
      <c r="S21" s="29">
        <f t="shared" si="5"/>
        <v>132</v>
      </c>
      <c r="T21" s="29">
        <f t="shared" si="6"/>
        <v>152</v>
      </c>
      <c r="U21" s="29">
        <f t="shared" si="6"/>
        <v>92</v>
      </c>
    </row>
    <row r="22" spans="1:21" x14ac:dyDescent="0.2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23">
        <v>10340</v>
      </c>
    </row>
    <row r="23" spans="1:21" x14ac:dyDescent="0.2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23">
        <v>9020</v>
      </c>
      <c r="H23" s="57" t="s">
        <v>28</v>
      </c>
      <c r="I23" s="55"/>
      <c r="J23" s="55"/>
      <c r="L23" s="57" t="s">
        <v>26</v>
      </c>
      <c r="M23" s="57"/>
      <c r="N23" s="57"/>
      <c r="R23" s="41" t="s">
        <v>32</v>
      </c>
      <c r="S23" s="41"/>
    </row>
    <row r="24" spans="1:21" x14ac:dyDescent="0.2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23">
        <v>11440</v>
      </c>
      <c r="H24" s="58" t="s">
        <v>23</v>
      </c>
      <c r="I24" s="59" t="s">
        <v>3</v>
      </c>
      <c r="J24" s="59" t="s">
        <v>25</v>
      </c>
      <c r="L24" s="60" t="s">
        <v>38</v>
      </c>
      <c r="M24" s="61" t="s">
        <v>3</v>
      </c>
      <c r="N24" s="61" t="s">
        <v>27</v>
      </c>
      <c r="R24" t="s">
        <v>4</v>
      </c>
      <c r="S24" t="s">
        <v>33</v>
      </c>
    </row>
    <row r="25" spans="1:21" x14ac:dyDescent="0.2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23">
        <v>7920</v>
      </c>
      <c r="H25" s="58"/>
      <c r="I25" s="33">
        <v>2010</v>
      </c>
      <c r="J25" s="33">
        <f>SUMIF($C:$C, $I25, $E:$E)</f>
        <v>476</v>
      </c>
      <c r="L25" s="60"/>
      <c r="M25" s="33">
        <v>2010</v>
      </c>
      <c r="N25" s="62">
        <f>AVERAGEIF($C:$C, $M25, $E:$E)</f>
        <v>52.888888888888886</v>
      </c>
      <c r="R25" t="s">
        <v>13</v>
      </c>
      <c r="S25">
        <f>COUNTIF($D:$D, $R25)</f>
        <v>6</v>
      </c>
    </row>
    <row r="26" spans="1:21" x14ac:dyDescent="0.2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23">
        <v>13200</v>
      </c>
      <c r="H26" s="58"/>
      <c r="I26" s="33">
        <v>2011</v>
      </c>
      <c r="J26" s="33">
        <f t="shared" ref="J26:J27" si="7">SUMIF($C:$C, $I26, $E:$E)</f>
        <v>380</v>
      </c>
      <c r="L26" s="60"/>
      <c r="M26" s="33">
        <v>2011</v>
      </c>
      <c r="N26" s="62">
        <f t="shared" ref="N26:N27" si="8">AVERAGEIF($C:$C, $M26, $E:$E)</f>
        <v>63.333333333333336</v>
      </c>
      <c r="R26" t="s">
        <v>7</v>
      </c>
      <c r="S26">
        <f t="shared" ref="S26:S29" si="9">COUNTIF($D:$D, $R26)</f>
        <v>3</v>
      </c>
    </row>
    <row r="27" spans="1:21" x14ac:dyDescent="0.25">
      <c r="H27" s="58"/>
      <c r="I27" s="33">
        <v>2012</v>
      </c>
      <c r="J27" s="33">
        <f t="shared" si="7"/>
        <v>368</v>
      </c>
      <c r="L27" s="60"/>
      <c r="M27" s="33">
        <v>2012</v>
      </c>
      <c r="N27" s="62">
        <f t="shared" si="8"/>
        <v>40.888888888888886</v>
      </c>
      <c r="R27" t="s">
        <v>11</v>
      </c>
      <c r="S27">
        <f t="shared" si="9"/>
        <v>7</v>
      </c>
    </row>
    <row r="28" spans="1:21" x14ac:dyDescent="0.25">
      <c r="R28" t="s">
        <v>15</v>
      </c>
      <c r="S28">
        <f t="shared" si="9"/>
        <v>5</v>
      </c>
    </row>
    <row r="29" spans="1:21" x14ac:dyDescent="0.25">
      <c r="R29" t="s">
        <v>18</v>
      </c>
      <c r="S29">
        <f t="shared" si="9"/>
        <v>3</v>
      </c>
    </row>
    <row r="31" spans="1:21" x14ac:dyDescent="0.25">
      <c r="G31" s="42" t="s">
        <v>35</v>
      </c>
      <c r="H31" s="42"/>
      <c r="I31" s="43"/>
      <c r="L31" s="44" t="s">
        <v>37</v>
      </c>
      <c r="M31" s="45"/>
      <c r="R31" t="s">
        <v>34</v>
      </c>
      <c r="S31" t="s">
        <v>11</v>
      </c>
    </row>
    <row r="32" spans="1:21" x14ac:dyDescent="0.25">
      <c r="G32" s="38" t="s">
        <v>23</v>
      </c>
      <c r="H32" s="36" t="s">
        <v>4</v>
      </c>
      <c r="I32" s="33" t="s">
        <v>36</v>
      </c>
      <c r="J32" s="32"/>
      <c r="L32" s="21" t="s">
        <v>3</v>
      </c>
      <c r="M32" s="21" t="s">
        <v>25</v>
      </c>
    </row>
    <row r="33" spans="7:13" x14ac:dyDescent="0.25">
      <c r="G33" s="39"/>
      <c r="H33" s="36" t="s">
        <v>13</v>
      </c>
      <c r="I33" s="35">
        <f>SUMIF($D$3:$D$26, $H33, $F$3:$F$26)</f>
        <v>60940</v>
      </c>
      <c r="L33" s="21">
        <v>2010</v>
      </c>
      <c r="M33" s="21">
        <f>SUMIF($C:$C, $L33, $E:$E)</f>
        <v>476</v>
      </c>
    </row>
    <row r="34" spans="7:13" x14ac:dyDescent="0.25">
      <c r="G34" s="39"/>
      <c r="H34" s="36" t="s">
        <v>7</v>
      </c>
      <c r="I34" s="31">
        <f t="shared" ref="I34:I37" si="10">SUMIF($D$3:$D$26, $H34, $F$3:$F$26)</f>
        <v>30800</v>
      </c>
      <c r="J34" s="32"/>
      <c r="L34" s="21">
        <v>2011</v>
      </c>
      <c r="M34" s="21">
        <f t="shared" ref="M34:M35" si="11">SUMIF($C:$C, $L34, $E:$E)</f>
        <v>380</v>
      </c>
    </row>
    <row r="35" spans="7:13" x14ac:dyDescent="0.25">
      <c r="G35" s="39"/>
      <c r="H35" s="36" t="s">
        <v>11</v>
      </c>
      <c r="I35" s="24">
        <f t="shared" si="10"/>
        <v>82720</v>
      </c>
      <c r="J35" s="32"/>
      <c r="L35" s="21">
        <v>2012</v>
      </c>
      <c r="M35" s="21">
        <f t="shared" si="11"/>
        <v>368</v>
      </c>
    </row>
    <row r="36" spans="7:13" x14ac:dyDescent="0.25">
      <c r="G36" s="39"/>
      <c r="H36" s="36" t="s">
        <v>15</v>
      </c>
      <c r="I36" s="34">
        <f t="shared" si="10"/>
        <v>42680</v>
      </c>
      <c r="J36" s="32"/>
    </row>
    <row r="37" spans="7:13" x14ac:dyDescent="0.25">
      <c r="G37" s="40"/>
      <c r="H37" s="37" t="s">
        <v>18</v>
      </c>
      <c r="I37" s="34">
        <f t="shared" si="10"/>
        <v>52140</v>
      </c>
      <c r="J37" s="32"/>
    </row>
    <row r="38" spans="7:13" x14ac:dyDescent="0.25">
      <c r="I38" s="30"/>
    </row>
  </sheetData>
  <mergeCells count="15">
    <mergeCell ref="S15:U15"/>
    <mergeCell ref="L16:L20"/>
    <mergeCell ref="I3:K3"/>
    <mergeCell ref="A1:F1"/>
    <mergeCell ref="H14:J14"/>
    <mergeCell ref="N4:N8"/>
    <mergeCell ref="R3:S3"/>
    <mergeCell ref="G32:G37"/>
    <mergeCell ref="H23:J23"/>
    <mergeCell ref="L23:N23"/>
    <mergeCell ref="R23:S23"/>
    <mergeCell ref="G31:I31"/>
    <mergeCell ref="L31:M31"/>
    <mergeCell ref="H24:H27"/>
    <mergeCell ref="L24:L27"/>
  </mergeCells>
  <conditionalFormatting sqref="F3:F26">
    <cfRule type="cellIs" dxfId="1" priority="1" operator="lessThan">
      <formula>6000</formula>
    </cfRule>
    <cfRule type="cellIs" dxfId="0" priority="2" operator="greaterThan">
      <formula>15000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Aleema Agbooola</cp:lastModifiedBy>
  <dcterms:created xsi:type="dcterms:W3CDTF">2024-05-08T21:08:42Z</dcterms:created>
  <dcterms:modified xsi:type="dcterms:W3CDTF">2026-05-01T19:07:07Z</dcterms:modified>
</cp:coreProperties>
</file>